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quisitos Não-Funcionais" sheetId="2" state="visible" r:id="rId2"/>
  </sheets>
  <definedNames>
    <definedName name="_xlnm._FilterDatabase" localSheetId="1" hidden="1">'Requisitos Não-Funcionais'!$A$1:$G$50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3364"/>
      <sz val="14"/>
    </font>
    <font>
      <name val="Arial"/>
      <i val="1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4"/>
      </patternFill>
    </fill>
    <fill>
      <patternFill patternType="solid">
        <fgColor rgb="00F2F3F5"/>
      </patternFill>
    </fill>
  </fills>
  <borders count="2">
    <border>
      <left/>
      <right/>
      <top/>
      <bottom/>
      <diagonal/>
    </border>
    <border>
      <left style="thin">
        <color rgb="00D0D2D8"/>
      </left>
      <right style="thin">
        <color rgb="00D0D2D8"/>
      </right>
      <top style="thin">
        <color rgb="00D0D2D8"/>
      </top>
      <bottom style="thin">
        <color rgb="00D0D2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3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</cols>
  <sheetData>
    <row r="1">
      <c r="A1" s="1" t="inlineStr">
        <is>
          <t>Requisitos Não-Funcionais — Plataforma UNIFEI</t>
        </is>
      </c>
    </row>
    <row r="2" ht="30" customHeight="1">
      <c r="A2" s="2" t="inlineStr">
        <is>
          <t>Levantamento a partir do sistema implementado. Agrupados em oito categorias: segurança, privacidade, integridade, desempenho, confiabilidade, usabilidade e acessibilidade, manutenibilidade e portabilidade.</t>
        </is>
      </c>
    </row>
    <row r="4">
      <c r="A4" s="3" t="inlineStr">
        <is>
          <t>Prioridade</t>
        </is>
      </c>
      <c r="B4" s="3" t="inlineStr">
        <is>
          <t>Quantidade</t>
        </is>
      </c>
    </row>
    <row r="5">
      <c r="A5" s="4" t="inlineStr">
        <is>
          <t>CRÍTICA</t>
        </is>
      </c>
      <c r="B5" s="5">
        <f>COUNTIF('Requisitos Não-Funcionais'!G2:G50,"CRÍTICA")</f>
        <v/>
      </c>
    </row>
    <row r="6">
      <c r="A6" s="4" t="inlineStr">
        <is>
          <t>ESSENCIAL</t>
        </is>
      </c>
      <c r="B6" s="5">
        <f>COUNTIF('Requisitos Não-Funcionais'!G2:G50,"ESSENCIAL")</f>
        <v/>
      </c>
    </row>
    <row r="7">
      <c r="A7" s="4" t="inlineStr">
        <is>
          <t>IMPORTANTE</t>
        </is>
      </c>
      <c r="B7" s="5">
        <f>COUNTIF('Requisitos Não-Funcionais'!G2:G50,"IMPORTANTE")</f>
        <v/>
      </c>
    </row>
    <row r="8">
      <c r="A8" s="4" t="inlineStr">
        <is>
          <t>DESEJÁVEL</t>
        </is>
      </c>
      <c r="B8" s="5">
        <f>COUNTIF('Requisitos Não-Funcionais'!G2:G50,"DESEJÁVEL")</f>
        <v/>
      </c>
    </row>
    <row r="9">
      <c r="A9" s="6" t="inlineStr">
        <is>
          <t>Total</t>
        </is>
      </c>
      <c r="B9" s="7">
        <f>COUNTA('Requisitos Não-Funcionais'!B2:B50)</f>
        <v/>
      </c>
    </row>
  </sheetData>
  <mergeCells count="1"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4" customWidth="1" min="3" max="3"/>
    <col width="17" customWidth="1" min="4" max="4"/>
    <col width="48" customWidth="1" min="5" max="5"/>
    <col width="68" customWidth="1" min="6" max="6"/>
    <col width="13" customWidth="1" min="7" max="7"/>
  </cols>
  <sheetData>
    <row r="1" ht="30" customHeight="1">
      <c r="A1" s="3" t="inlineStr">
        <is>
          <t>ID</t>
        </is>
      </c>
      <c r="B1" s="3" t="inlineStr">
        <is>
          <t>Código RNF</t>
        </is>
      </c>
      <c r="C1" s="3" t="inlineStr">
        <is>
          <t>Requisito</t>
        </is>
      </c>
      <c r="D1" s="3" t="inlineStr">
        <is>
          <t>Categoria</t>
        </is>
      </c>
      <c r="E1" s="3" t="inlineStr">
        <is>
          <t>Descrição Funcional</t>
        </is>
      </c>
      <c r="F1" s="3" t="inlineStr">
        <is>
          <t>Descrição Técnica</t>
        </is>
      </c>
      <c r="G1" s="3" t="inlineStr">
        <is>
          <t>Prioridade</t>
        </is>
      </c>
    </row>
    <row r="2">
      <c r="A2" s="8" t="n">
        <v>1</v>
      </c>
      <c r="B2" s="8" t="inlineStr">
        <is>
          <t>RNF-SEG-001</t>
        </is>
      </c>
      <c r="C2" s="8" t="inlineStr">
        <is>
          <t>Autenticação por token com expiração</t>
        </is>
      </c>
      <c r="D2" s="8" t="inlineStr">
        <is>
          <t>Segurança</t>
        </is>
      </c>
      <c r="E2" s="8" t="inlineStr">
        <is>
          <t>A sessão expira sozinha e o token deixa de valer quando a pessoa sai.</t>
        </is>
      </c>
      <c r="F2" s="8" t="inlineStr">
        <is>
          <t>SimpleJWT com par de tokens. O de renovação é rotacionado a cada uso e o anterior vai para a lista de negação em Redis. Sem a lista, um token vazado continuaria válido até expirar naturalmente, e o encerramento de sessão seria apenas visual.</t>
        </is>
      </c>
      <c r="G2" s="8" t="inlineStr">
        <is>
          <t>CRÍTICA</t>
        </is>
      </c>
    </row>
    <row r="3">
      <c r="A3" s="9" t="n">
        <v>2</v>
      </c>
      <c r="B3" s="9" t="inlineStr">
        <is>
          <t>RNF-SEG-002</t>
        </is>
      </c>
      <c r="C3" s="9" t="inlineStr">
        <is>
          <t>Senha armazenada com hash</t>
        </is>
      </c>
      <c r="D3" s="9" t="inlineStr">
        <is>
          <t>Segurança</t>
        </is>
      </c>
      <c r="E3" s="9" t="inlineStr">
        <is>
          <t>A senha nunca é guardada de forma recuperável.</t>
        </is>
      </c>
      <c r="F3" s="9" t="inlineStr">
        <is>
          <t>Hasher padrão do Django, com PBKDF2 e sal por usuário. Nenhum ponto do sistema lê a senha em texto claro, inclusive os comandos de carga: o cadastro em lote cria a conta sem senha utilizável.</t>
        </is>
      </c>
      <c r="G3" s="9" t="inlineStr">
        <is>
          <t>CRÍTICA</t>
        </is>
      </c>
    </row>
    <row r="4">
      <c r="A4" s="8" t="n">
        <v>3</v>
      </c>
      <c r="B4" s="8" t="inlineStr">
        <is>
          <t>RNF-SEG-003</t>
        </is>
      </c>
      <c r="C4" s="8" t="inlineStr">
        <is>
          <t>Controle de acesso por papel e vínculo</t>
        </is>
      </c>
      <c r="D4" s="8" t="inlineStr">
        <is>
          <t>Segurança</t>
        </is>
      </c>
      <c r="E4" s="8" t="inlineStr">
        <is>
          <t>Cada pessoa só alcança o que corresponde ao seu papel na disciplina.</t>
        </is>
      </c>
      <c r="F4" s="8" t="inlineStr">
        <is>
          <t>Verificação no servidor a cada requisição, combinando papel global e vínculo com a disciplina. Duas funções distintas: moderar, pela qual a administração passa, e lecionar, pela qual não. A ocultação de abas no menu é conveniência de interface, nunca o controle em si.</t>
        </is>
      </c>
      <c r="G4" s="8" t="inlineStr">
        <is>
          <t>CRÍTICA</t>
        </is>
      </c>
    </row>
    <row r="5">
      <c r="A5" s="9" t="n">
        <v>4</v>
      </c>
      <c r="B5" s="9" t="inlineStr">
        <is>
          <t>RNF-SEG-004</t>
        </is>
      </c>
      <c r="C5" s="9" t="inlineStr">
        <is>
          <t>Negar existência a quem não tem acesso</t>
        </is>
      </c>
      <c r="D5" s="9" t="inlineStr">
        <is>
          <t>Segurança</t>
        </is>
      </c>
      <c r="E5" s="9" t="inlineStr">
        <is>
          <t>Quem não pode ver um recurso recebe resposta de inexistência, e não de proibição.</t>
        </is>
      </c>
      <c r="F5" s="9" t="inlineStr">
        <is>
          <t>As consultas são filtradas pelo escopo da pessoa antes da busca por identificador, o que produz 404 em vez de 403. Responder proibido confirmaria que o recurso existe, e isso já é informação.</t>
        </is>
      </c>
      <c r="G5" s="9" t="inlineStr">
        <is>
          <t>ESSENCIAL</t>
        </is>
      </c>
    </row>
    <row r="6">
      <c r="A6" s="8" t="n">
        <v>5</v>
      </c>
      <c r="B6" s="8" t="inlineStr">
        <is>
          <t>RNF-SEG-005</t>
        </is>
      </c>
      <c r="C6" s="8" t="inlineStr">
        <is>
          <t>Validação do tipo real dos arquivos</t>
        </is>
      </c>
      <c r="D6" s="8" t="inlineStr">
        <is>
          <t>Segurança</t>
        </is>
      </c>
      <c r="E6" s="8" t="inlineStr">
        <is>
          <t>Arquivo enviado é verificado pelo conteúdo, e não pelo nome.</t>
        </is>
      </c>
      <c r="F6" s="8" t="inlineStr">
        <is>
          <t>Leitura da assinatura com python-magic, comparada a uma lista de tipos aceitos por contexto. Confiar na extensão permitiria enviar executável renomeado para .pdf.</t>
        </is>
      </c>
      <c r="G6" s="8" t="inlineStr">
        <is>
          <t>CRÍTICA</t>
        </is>
      </c>
    </row>
    <row r="7">
      <c r="A7" s="9" t="n">
        <v>6</v>
      </c>
      <c r="B7" s="9" t="inlineStr">
        <is>
          <t>RNF-SEG-006</t>
        </is>
      </c>
      <c r="C7" s="9" t="inlineStr">
        <is>
          <t>Limite de tamanho por envio</t>
        </is>
      </c>
      <c r="D7" s="9" t="inlineStr">
        <is>
          <t>Segurança</t>
        </is>
      </c>
      <c r="E7" s="9" t="inlineStr">
        <is>
          <t>O tamanho do anexo é limitado conforme o contexto.</t>
        </is>
      </c>
      <c r="F7" s="9" t="inlineStr">
        <is>
          <t>Verificado no servidor, e não apenas no navegador: 20 MB para material de trabalho, 10 MB para anexo de conversa e de publicação.</t>
        </is>
      </c>
      <c r="G7" s="9" t="inlineStr">
        <is>
          <t>ESSENCIAL</t>
        </is>
      </c>
    </row>
    <row r="8">
      <c r="A8" s="8" t="n">
        <v>7</v>
      </c>
      <c r="B8" s="8" t="inlineStr">
        <is>
          <t>RNF-SEG-007</t>
        </is>
      </c>
      <c r="C8" s="8" t="inlineStr">
        <is>
          <t>Proteção do tráfego em produção</t>
        </is>
      </c>
      <c r="D8" s="8" t="inlineStr">
        <is>
          <t>Segurança</t>
        </is>
      </c>
      <c r="E8" s="8" t="inlineStr">
        <is>
          <t>Todo o acesso à plataforma trafega cifrado.</t>
        </is>
      </c>
      <c r="F8" s="8" t="inlineStr">
        <is>
          <t>HTTPS obrigatório, com redirecionamento e cabeçalho de proxy reconhecido. Origens confiáveis declaradas explicitamente para o token de formulário.</t>
        </is>
      </c>
      <c r="G8" s="8" t="inlineStr">
        <is>
          <t>CRÍTICA</t>
        </is>
      </c>
    </row>
    <row r="9">
      <c r="A9" s="9" t="n">
        <v>8</v>
      </c>
      <c r="B9" s="9" t="inlineStr">
        <is>
          <t>RNF-SEG-008</t>
        </is>
      </c>
      <c r="C9" s="9" t="inlineStr">
        <is>
          <t>Restrição do acesso à comunidade</t>
        </is>
      </c>
      <c r="D9" s="9" t="inlineStr">
        <is>
          <t>Segurança</t>
        </is>
      </c>
      <c r="E9" s="9" t="inlineStr">
        <is>
          <t>Só entra quem tem vínculo com a universidade.</t>
        </is>
      </c>
      <c r="F9" s="9" t="inlineStr">
        <is>
          <t>Verificação do CPF contra a base institucional antes do cadastro, e ativação por código enviado ao e-mail informado.</t>
        </is>
      </c>
      <c r="G9" s="9" t="inlineStr">
        <is>
          <t>CRÍTICA</t>
        </is>
      </c>
    </row>
    <row r="10">
      <c r="A10" s="8" t="n">
        <v>9</v>
      </c>
      <c r="B10" s="8" t="inlineStr">
        <is>
          <t>RNF-SEG-009</t>
        </is>
      </c>
      <c r="C10" s="8" t="inlineStr">
        <is>
          <t>Sanitização do conteúdo enviado</t>
        </is>
      </c>
      <c r="D10" s="8" t="inlineStr">
        <is>
          <t>Segurança</t>
        </is>
      </c>
      <c r="E10" s="8" t="inlineStr">
        <is>
          <t>Texto publicado não executa código no navegador de quem lê.</t>
        </is>
      </c>
      <c r="F10" s="8" t="inlineStr">
        <is>
          <t>Escape automático na renderização e ausência de inserção direta de HTML não tratado. Um fórum aceita texto de qualquer participante, o que o torna alvo natural de injeção de script.</t>
        </is>
      </c>
      <c r="G10" s="8" t="inlineStr">
        <is>
          <t>CRÍTICA</t>
        </is>
      </c>
    </row>
    <row r="11">
      <c r="A11" s="9" t="n">
        <v>10</v>
      </c>
      <c r="B11" s="9" t="inlineStr">
        <is>
          <t>RNF-SEG-010</t>
        </is>
      </c>
      <c r="C11" s="9" t="inlineStr">
        <is>
          <t>Rastro das ações de moderação</t>
        </is>
      </c>
      <c r="D11" s="9" t="inlineStr">
        <is>
          <t>Segurança</t>
        </is>
      </c>
      <c r="E11" s="9" t="inlineStr">
        <is>
          <t>Toda decisão de moderação fica registrada com autor e momento.</t>
        </is>
      </c>
      <c r="F11" s="9" t="inlineStr">
        <is>
          <t>Registro de auditoria gravado junto da ação, na mesma transação. Moderação sem rastro impede contestar uma decisão.</t>
        </is>
      </c>
      <c r="G11" s="9" t="inlineStr">
        <is>
          <t>ESSENCIAL</t>
        </is>
      </c>
    </row>
    <row r="12">
      <c r="A12" s="8" t="n">
        <v>11</v>
      </c>
      <c r="B12" s="8" t="inlineStr">
        <is>
          <t>RNF-PRI-001</t>
        </is>
      </c>
      <c r="C12" s="8" t="inlineStr">
        <is>
          <t>Privacidade da conversa de grupo</t>
        </is>
      </c>
      <c r="D12" s="8" t="inlineStr">
        <is>
          <t>Privacidade</t>
        </is>
      </c>
      <c r="E12" s="8" t="inlineStr">
        <is>
          <t>A conversa do grupo é fechada aos integrantes, inclusive em relação ao professor.</t>
        </is>
      </c>
      <c r="F12" s="8" t="inlineStr">
        <is>
          <t>A consulta de conversas filtra por participação. O único conteúdo que atravessa é o pedido de ajuda, recortado: apenas a mensagem marcada e a descrição escrita. É condição para o módulo funcionar — sem ela, os grupos usam aplicativos externos.</t>
        </is>
      </c>
      <c r="G12" s="8" t="inlineStr">
        <is>
          <t>CRÍTICA</t>
        </is>
      </c>
    </row>
    <row r="13">
      <c r="A13" s="9" t="n">
        <v>12</v>
      </c>
      <c r="B13" s="9" t="inlineStr">
        <is>
          <t>RNF-PRI-002</t>
        </is>
      </c>
      <c r="C13" s="9" t="inlineStr">
        <is>
          <t>Agregação sem identificação</t>
        </is>
      </c>
      <c r="D13" s="9" t="inlineStr">
        <is>
          <t>Privacidade</t>
        </is>
      </c>
      <c r="E13" s="9" t="inlineStr">
        <is>
          <t>Os números públicos e os painéis de acompanhamento não expõem indivíduos.</t>
        </is>
      </c>
      <c r="F13" s="9" t="inlineStr">
        <is>
          <t>As contagens da tela de entrada e do painel de coordenação são agregadas por disciplina, sem nome nem identificador de pessoa.</t>
        </is>
      </c>
      <c r="G13" s="9" t="inlineStr">
        <is>
          <t>ESSENCIAL</t>
        </is>
      </c>
    </row>
    <row r="14">
      <c r="A14" s="8" t="n">
        <v>13</v>
      </c>
      <c r="B14" s="8" t="inlineStr">
        <is>
          <t>RNF-PRI-003</t>
        </is>
      </c>
      <c r="C14" s="8" t="inlineStr">
        <is>
          <t>Campos de identificação não editáveis</t>
        </is>
      </c>
      <c r="D14" s="8" t="inlineStr">
        <is>
          <t>Privacidade</t>
        </is>
      </c>
      <c r="E14" s="8" t="inlineStr">
        <is>
          <t>Nome, CPF, matrícula e vínculos vêm da organização e não se alteram pelo perfil.</t>
        </is>
      </c>
      <c r="F14" s="8" t="inlineStr">
        <is>
          <t>Lista explícita de campos editáveis na edição do próprio perfil. Permitir a alteração quebraria a correspondência com o registro institucional.</t>
        </is>
      </c>
      <c r="G14" s="8" t="inlineStr">
        <is>
          <t>ESSENCIAL</t>
        </is>
      </c>
    </row>
    <row r="15">
      <c r="A15" s="9" t="n">
        <v>14</v>
      </c>
      <c r="B15" s="9" t="inlineStr">
        <is>
          <t>RNF-INT-001</t>
        </is>
      </c>
      <c r="C15" s="9" t="inlineStr">
        <is>
          <t>Preservação do histórico na remoção</t>
        </is>
      </c>
      <c r="D15" s="9" t="inlineStr">
        <is>
          <t>Integridade</t>
        </is>
      </c>
      <c r="E15" s="9" t="inlineStr">
        <is>
          <t>Remover não destrói o registro.</t>
        </is>
      </c>
      <c r="F15" s="9" t="inlineStr">
        <is>
          <t>Exclusão lógica por deleted_at nos modelos em que apagar de verdade destruiria histórico: publicações, respostas e mensagens. As consultas filtram o campo. Permite auditoria e mantém coerentes as respostas que dependiam do item removido.</t>
        </is>
      </c>
      <c r="G15" s="9" t="inlineStr">
        <is>
          <t>ESSENCIAL</t>
        </is>
      </c>
    </row>
    <row r="16">
      <c r="A16" s="8" t="n">
        <v>15</v>
      </c>
      <c r="B16" s="8" t="inlineStr">
        <is>
          <t>RNF-INT-002</t>
        </is>
      </c>
      <c r="C16" s="8" t="inlineStr">
        <is>
          <t>Unicidade garantida no banco</t>
        </is>
      </c>
      <c r="D16" s="8" t="inlineStr">
        <is>
          <t>Integridade</t>
        </is>
      </c>
      <c r="E16" s="8" t="inlineStr">
        <is>
          <t>Um voto por pessoa e publicação, um papel por pessoa e disciplina, uma inscrição por pessoa e oportunidade.</t>
        </is>
      </c>
      <c r="F16" s="8" t="inlineStr">
        <is>
          <t>Restrições declaradas no banco, e não apenas verificadas na aplicação. Verificação só na aplicação falha sob concorrência.</t>
        </is>
      </c>
      <c r="G16" s="8" t="inlineStr">
        <is>
          <t>CRÍTICA</t>
        </is>
      </c>
    </row>
    <row r="17">
      <c r="A17" s="9" t="n">
        <v>16</v>
      </c>
      <c r="B17" s="9" t="inlineStr">
        <is>
          <t>RNF-INT-003</t>
        </is>
      </c>
      <c r="C17" s="9" t="inlineStr">
        <is>
          <t>Atomicidade nas operações concorrentes</t>
        </is>
      </c>
      <c r="D17" s="9" t="inlineStr">
        <is>
          <t>Integridade</t>
        </is>
      </c>
      <c r="E17" s="9" t="inlineStr">
        <is>
          <t>Duas inscrições simultâneas não ultrapassam o número de vagas.</t>
        </is>
      </c>
      <c r="F17" s="9" t="inlineStr">
        <is>
          <t>Verificação de disponibilidade e gravação dentro da mesma transação.</t>
        </is>
      </c>
      <c r="G17" s="9" t="inlineStr">
        <is>
          <t>ESSENCIAL</t>
        </is>
      </c>
    </row>
    <row r="18">
      <c r="A18" s="8" t="n">
        <v>17</v>
      </c>
      <c r="B18" s="8" t="inlineStr">
        <is>
          <t>RNF-INT-004</t>
        </is>
      </c>
      <c r="C18" s="8" t="inlineStr">
        <is>
          <t>Identificadores não sequenciais</t>
        </is>
      </c>
      <c r="D18" s="8" t="inlineStr">
        <is>
          <t>Integridade</t>
        </is>
      </c>
      <c r="E18" s="8" t="inlineStr">
        <is>
          <t>O identificador de um registro não revela quantos existem nem permite percorrer os vizinhos.</t>
        </is>
      </c>
      <c r="F18" s="8" t="inlineStr">
        <is>
          <t>Chaves primárias em UUID em todos os modelos.</t>
        </is>
      </c>
      <c r="G18" s="8" t="inlineStr">
        <is>
          <t>IMPORTANTE</t>
        </is>
      </c>
    </row>
    <row r="19">
      <c r="A19" s="9" t="n">
        <v>18</v>
      </c>
      <c r="B19" s="9" t="inlineStr">
        <is>
          <t>RNF-DES-001</t>
        </is>
      </c>
      <c r="C19" s="9" t="inlineStr">
        <is>
          <t>Consulta sem multiplicação de acessos</t>
        </is>
      </c>
      <c r="D19" s="9" t="inlineStr">
        <is>
          <t>Desempenho</t>
        </is>
      </c>
      <c r="E19" s="9" t="inlineStr">
        <is>
          <t>Listas com dados relacionados não disparam uma consulta por item.</t>
        </is>
      </c>
      <c r="F19" s="9" t="inlineStr">
        <is>
          <t>Uso de select_related e prefetch_related nas consultas que compõem listagens. O acervo de arquivos, que atravessa três modelos, foi montado com esse cuidado.</t>
        </is>
      </c>
      <c r="G19" s="9" t="inlineStr">
        <is>
          <t>ESSENCIAL</t>
        </is>
      </c>
    </row>
    <row r="20">
      <c r="A20" s="8" t="n">
        <v>19</v>
      </c>
      <c r="B20" s="8" t="inlineStr">
        <is>
          <t>RNF-DES-002</t>
        </is>
      </c>
      <c r="C20" s="8" t="inlineStr">
        <is>
          <t>Índices nos campos de filtro e ordenação</t>
        </is>
      </c>
      <c r="D20" s="8" t="inlineStr">
        <is>
          <t>Desempenho</t>
        </is>
      </c>
      <c r="E20" s="8" t="inlineStr">
        <is>
          <t>As consultas frequentes têm suporte de índice.</t>
        </is>
      </c>
      <c r="F20" s="8" t="inlineStr">
        <is>
          <t>Índices declarados em conversa e data de mensagem, em tipo de conversa e em data de criação de publicação.</t>
        </is>
      </c>
      <c r="G20" s="8" t="inlineStr">
        <is>
          <t>IMPORTANTE</t>
        </is>
      </c>
    </row>
    <row r="21">
      <c r="A21" s="9" t="n">
        <v>20</v>
      </c>
      <c r="B21" s="9" t="inlineStr">
        <is>
          <t>RNF-DES-003</t>
        </is>
      </c>
      <c r="C21" s="9" t="inlineStr">
        <is>
          <t>Paginação nas listagens</t>
        </is>
      </c>
      <c r="D21" s="9" t="inlineStr">
        <is>
          <t>Desempenho</t>
        </is>
      </c>
      <c r="E21" s="9" t="inlineStr">
        <is>
          <t>Nenhuma listagem devolve a coleção inteira.</t>
        </is>
      </c>
      <c r="F21" s="9" t="inlineStr">
        <is>
          <t>Paginação padrão do DRF configurada globalmente.</t>
        </is>
      </c>
      <c r="G21" s="9" t="inlineStr">
        <is>
          <t>ESSENCIAL</t>
        </is>
      </c>
    </row>
    <row r="22">
      <c r="A22" s="8" t="n">
        <v>21</v>
      </c>
      <c r="B22" s="8" t="inlineStr">
        <is>
          <t>RNF-DES-004</t>
        </is>
      </c>
      <c r="C22" s="8" t="inlineStr">
        <is>
          <t>Custo de rede evitado em listagem</t>
        </is>
      </c>
      <c r="D22" s="8" t="inlineStr">
        <is>
          <t>Desempenho</t>
        </is>
      </c>
      <c r="E22" s="8" t="inlineStr">
        <is>
          <t>Montar uma lista não faz uma chamada ao armazenamento por item.</t>
        </is>
      </c>
      <c r="F22" s="8" t="inlineStr">
        <is>
          <t>O acervo não consulta o tamanho de cada anexo de conversa, porque a mensagem não o guarda e perguntar ao arquivo custaria uma chamada de rede por linha quando o armazenamento é externo.</t>
        </is>
      </c>
      <c r="G22" s="8" t="inlineStr">
        <is>
          <t>IMPORTANTE</t>
        </is>
      </c>
    </row>
    <row r="23">
      <c r="A23" s="9" t="n">
        <v>22</v>
      </c>
      <c r="B23" s="9" t="inlineStr">
        <is>
          <t>RNF-DES-005</t>
        </is>
      </c>
      <c r="C23" s="9" t="inlineStr">
        <is>
          <t>Modelo de linguagem carregado sob demanda</t>
        </is>
      </c>
      <c r="D23" s="9" t="inlineStr">
        <is>
          <t>Desempenho</t>
        </is>
      </c>
      <c r="E23" s="9" t="inlineStr">
        <is>
          <t>O modelo de busca semântica não é carregado na partida da aplicação.</t>
        </is>
      </c>
      <c r="F23" s="9" t="inlineStr">
        <is>
          <t>Carregamento tardio, na primeira indexação. Em instância pequena, o carregamento na partida esgotaria a memória antes de a aplicação responder.</t>
        </is>
      </c>
      <c r="G23" s="9" t="inlineStr">
        <is>
          <t>IMPORTANTE</t>
        </is>
      </c>
    </row>
    <row r="24">
      <c r="A24" s="8" t="n">
        <v>23</v>
      </c>
      <c r="B24" s="8" t="inlineStr">
        <is>
          <t>RNF-DES-006</t>
        </is>
      </c>
      <c r="C24" s="8" t="inlineStr">
        <is>
          <t>Latência do canal em tempo real</t>
        </is>
      </c>
      <c r="D24" s="8" t="inlineStr">
        <is>
          <t>Desempenho</t>
        </is>
      </c>
      <c r="E24" s="8" t="inlineStr">
        <is>
          <t>A mensagem enviada aparece para os demais sem demora perceptível.</t>
        </is>
      </c>
      <c r="F24" s="8" t="inlineStr">
        <is>
          <t>Entrega por WebSocket sobre Daphne, sem consulta periódica ao servidor. A consulta periódica geraria carga constante e ainda assim exibiria a mensagem com atraso.</t>
        </is>
      </c>
      <c r="G24" s="8" t="inlineStr">
        <is>
          <t>ESSENCIAL</t>
        </is>
      </c>
    </row>
    <row r="25">
      <c r="A25" s="9" t="n">
        <v>24</v>
      </c>
      <c r="B25" s="9" t="inlineStr">
        <is>
          <t>RNF-DES-007</t>
        </is>
      </c>
      <c r="C25" s="9" t="inlineStr">
        <is>
          <t>Filtragem no navegador quando o volume permite</t>
        </is>
      </c>
      <c r="D25" s="9" t="inlineStr">
        <is>
          <t>Desempenho</t>
        </is>
      </c>
      <c r="E25" s="9" t="inlineStr">
        <is>
          <t>A busca dentro do acervo de arquivos responde a cada tecla, sem ida ao servidor.</t>
        </is>
      </c>
      <c r="F25" s="9" t="inlineStr">
        <is>
          <t>O acervo de um semestre são dezenas de arquivos, não milhares. Consultar o servidor a cada tecla custaria mais que filtrar o conjunto inteiro localmente.</t>
        </is>
      </c>
      <c r="G25" s="9" t="inlineStr">
        <is>
          <t>IMPORTANTE</t>
        </is>
      </c>
    </row>
    <row r="26">
      <c r="A26" s="8" t="n">
        <v>25</v>
      </c>
      <c r="B26" s="8" t="inlineStr">
        <is>
          <t>RNF-CON-001</t>
        </is>
      </c>
      <c r="C26" s="8" t="inlineStr">
        <is>
          <t>Degradação previsível da busca</t>
        </is>
      </c>
      <c r="D26" s="8" t="inlineStr">
        <is>
          <t>Confiabilidade</t>
        </is>
      </c>
      <c r="E26" s="8" t="inlineStr">
        <is>
          <t>Sem o modelo semântico, a busca continua funcionando em modo textual.</t>
        </is>
      </c>
      <c r="F26" s="8" t="inlineStr">
        <is>
          <t>A função de busca devolve o modo utilizado junto com os resultados, e a troca é automática. A interface informa qual modo respondeu.</t>
        </is>
      </c>
      <c r="G26" s="8" t="inlineStr">
        <is>
          <t>ESSENCIAL</t>
        </is>
      </c>
    </row>
    <row r="27">
      <c r="A27" s="9" t="n">
        <v>26</v>
      </c>
      <c r="B27" s="9" t="inlineStr">
        <is>
          <t>RNF-CON-002</t>
        </is>
      </c>
      <c r="C27" s="9" t="inlineStr">
        <is>
          <t>Operação sem Redis</t>
        </is>
      </c>
      <c r="D27" s="9" t="inlineStr">
        <is>
          <t>Confiabilidade</t>
        </is>
      </c>
      <c r="E27" s="9" t="inlineStr">
        <is>
          <t>A plataforma funciona em implantação de instância única, sem serviço de fila externo.</t>
        </is>
      </c>
      <c r="F27" s="9" t="inlineStr">
        <is>
          <t>Camada de canais em memória e cache local quando Redis está desativado por variável de ambiente. Torna viável a implantação em plano gratuito, usada na avaliação com usuários.</t>
        </is>
      </c>
      <c r="G27" s="9" t="inlineStr">
        <is>
          <t>IMPORTANTE</t>
        </is>
      </c>
    </row>
    <row r="28">
      <c r="A28" s="8" t="n">
        <v>27</v>
      </c>
      <c r="B28" s="8" t="inlineStr">
        <is>
          <t>RNF-CON-003</t>
        </is>
      </c>
      <c r="C28" s="8" t="inlineStr">
        <is>
          <t>Falha de carga não impede o acesso</t>
        </is>
      </c>
      <c r="D28" s="8" t="inlineStr">
        <is>
          <t>Confiabilidade</t>
        </is>
      </c>
      <c r="E28" s="8" t="inlineStr">
        <is>
          <t>Um erro na carga inicial não derruba a aplicação, e aparece no registro.</t>
        </is>
      </c>
      <c r="F28" s="8" t="inlineStr">
        <is>
          <t>Os passos da carga rodam em segundo plano, depois de o servidor abrir a porta, e cada falha é impressa em destaque. A versão anterior silenciava o erro: a plataforma subia vazia e o registro não dizia por quê.</t>
        </is>
      </c>
      <c r="G28" s="8" t="inlineStr">
        <is>
          <t>IMPORTANTE</t>
        </is>
      </c>
    </row>
    <row r="29">
      <c r="A29" s="9" t="n">
        <v>28</v>
      </c>
      <c r="B29" s="9" t="inlineStr">
        <is>
          <t>RNF-CON-004</t>
        </is>
      </c>
      <c r="C29" s="9" t="inlineStr">
        <is>
          <t>Verificação automatizada</t>
        </is>
      </c>
      <c r="D29" s="9" t="inlineStr">
        <is>
          <t>Confiabilidade</t>
        </is>
      </c>
      <c r="E29" s="9" t="inlineStr">
        <is>
          <t>As regras de permissão e privacidade têm teste que as sustenta.</t>
        </is>
      </c>
      <c r="F29" s="9" t="inlineStr">
        <is>
          <t>Suíte de testes automatizados cobrindo autenticação, visibilidade por matrícula, privacidade da conversa, moderação e o acervo de arquivos.</t>
        </is>
      </c>
      <c r="G29" s="9" t="inlineStr">
        <is>
          <t>ESSENCIAL</t>
        </is>
      </c>
    </row>
    <row r="30">
      <c r="A30" s="8" t="n">
        <v>29</v>
      </c>
      <c r="B30" s="8" t="inlineStr">
        <is>
          <t>RNF-CON-005</t>
        </is>
      </c>
      <c r="C30" s="8" t="inlineStr">
        <is>
          <t>Reprodutibilidade do conjunto de demonstração</t>
        </is>
      </c>
      <c r="D30" s="8" t="inlineStr">
        <is>
          <t>Confiabilidade</t>
        </is>
      </c>
      <c r="E30" s="8" t="inlineStr">
        <is>
          <t>A mesma carga produz sempre o mesmo conjunto de dados.</t>
        </is>
      </c>
      <c r="F30" s="8" t="inlineStr">
        <is>
          <t>Semente fixa no gerador aleatório do comando de demonstração. Sem isso, uma captura de tela do artigo não corresponderia ao que a banca veria ao executar o projeto.</t>
        </is>
      </c>
      <c r="G30" s="8" t="inlineStr">
        <is>
          <t>IMPORTANTE</t>
        </is>
      </c>
    </row>
    <row r="31">
      <c r="A31" s="9" t="n">
        <v>30</v>
      </c>
      <c r="B31" s="9" t="inlineStr">
        <is>
          <t>RNF-CON-006</t>
        </is>
      </c>
      <c r="C31" s="9" t="inlineStr">
        <is>
          <t>Carga inicial que não sobrescreve uso real</t>
        </is>
      </c>
      <c r="D31" s="9" t="inlineStr">
        <is>
          <t>Confiabilidade</t>
        </is>
      </c>
      <c r="E31" s="9" t="inlineStr">
        <is>
          <t>A carga de demonstração roda uma vez, e não a cada reinício.</t>
        </is>
      </c>
      <c r="F31" s="9" t="inlineStr">
        <is>
          <t>Controlada por variável de ambiente, desligada após a primeira implantação. Repeti-la apagaria o que os participantes produziram durante a avaliação, que é justamente o dado a observar.</t>
        </is>
      </c>
      <c r="G31" s="9" t="inlineStr">
        <is>
          <t>ESSENCIAL</t>
        </is>
      </c>
    </row>
    <row r="32">
      <c r="A32" s="8" t="n">
        <v>31</v>
      </c>
      <c r="B32" s="8" t="inlineStr">
        <is>
          <t>RNF-USA-001</t>
        </is>
      </c>
      <c r="C32" s="8" t="inlineStr">
        <is>
          <t>Conformidade com diretrizes de acessibilidade</t>
        </is>
      </c>
      <c r="D32" s="8" t="inlineStr">
        <is>
          <t>Acessibilidade</t>
        </is>
      </c>
      <c r="E32" s="8" t="inlineStr">
        <is>
          <t>A plataforma é utilizável por quem depende de leitor de tela ou navega por teclado.</t>
        </is>
      </c>
      <c r="F32" s="8" t="inlineStr">
        <is>
          <t>Idioma declarado no elemento raiz, atalho para o conteúdo principal, contorno de foco visível, nome acessível em botões que só têm ícone, indicação da página atual na navegação e respeito à preferência de movimento reduzido. Segue as diretrizes da W3C.</t>
        </is>
      </c>
      <c r="G32" s="8" t="inlineStr">
        <is>
          <t>ESSENCIAL</t>
        </is>
      </c>
    </row>
    <row r="33">
      <c r="A33" s="9" t="n">
        <v>32</v>
      </c>
      <c r="B33" s="9" t="inlineStr">
        <is>
          <t>RNF-USA-002</t>
        </is>
      </c>
      <c r="C33" s="9" t="inlineStr">
        <is>
          <t>Contraste suficiente nos dois temas</t>
        </is>
      </c>
      <c r="D33" s="9" t="inlineStr">
        <is>
          <t>Acessibilidade</t>
        </is>
      </c>
      <c r="E33" s="9" t="inlineStr">
        <is>
          <t>Texto e controles permanecem legíveis no tema claro e no escuro.</t>
        </is>
      </c>
      <c r="F33" s="9" t="inlineStr">
        <is>
          <t>Cores definidas por variáveis que trocam de valor com o tema. Valores fixos escritos no código produziam texto quase invisível no tema escuro.</t>
        </is>
      </c>
      <c r="G33" s="9" t="inlineStr">
        <is>
          <t>ESSENCIAL</t>
        </is>
      </c>
    </row>
    <row r="34">
      <c r="A34" s="8" t="n">
        <v>33</v>
      </c>
      <c r="B34" s="8" t="inlineStr">
        <is>
          <t>RNF-USA-003</t>
        </is>
      </c>
      <c r="C34" s="8" t="inlineStr">
        <is>
          <t>Adaptação a telas estreitas</t>
        </is>
      </c>
      <c r="D34" s="8" t="inlineStr">
        <is>
          <t>Usabilidade</t>
        </is>
      </c>
      <c r="E34" s="8" t="inlineStr">
        <is>
          <t>A plataforma é utilizável no telefone.</t>
        </is>
      </c>
      <c r="F34" s="8" t="inlineStr">
        <is>
          <t>Abaixo de 1024 pixels a barra lateral sai do fluxo e vira gaveta sobreposta. Grades de colunas fixas foram trocadas por ajuste automático, que só cria a segunda coluna quando há largura para ela. Campos com no mínimo 16 pixels, para o navegador não aproximar a página ao receber foco.</t>
        </is>
      </c>
      <c r="G34" s="8" t="inlineStr">
        <is>
          <t>ESSENCIAL</t>
        </is>
      </c>
    </row>
    <row r="35">
      <c r="A35" s="9" t="n">
        <v>34</v>
      </c>
      <c r="B35" s="9" t="inlineStr">
        <is>
          <t>RNF-USA-004</t>
        </is>
      </c>
      <c r="C35" s="9" t="inlineStr">
        <is>
          <t>Confirmação em ação de efeito coletivo</t>
        </is>
      </c>
      <c r="D35" s="9" t="inlineStr">
        <is>
          <t>Usabilidade</t>
        </is>
      </c>
      <c r="E35" s="9" t="inlineStr">
        <is>
          <t>Sair de um grupo e excluir mensagem pedem confirmação.</t>
        </is>
      </c>
      <c r="F35" s="9" t="inlineStr">
        <is>
          <t>Diálogo antes de executar. São ações que afetam outras pessoas e cujo desfazer não é imediato.</t>
        </is>
      </c>
      <c r="G35" s="9" t="inlineStr">
        <is>
          <t>IMPORTANTE</t>
        </is>
      </c>
    </row>
    <row r="36">
      <c r="A36" s="8" t="n">
        <v>35</v>
      </c>
      <c r="B36" s="8" t="inlineStr">
        <is>
          <t>RNF-USA-005</t>
        </is>
      </c>
      <c r="C36" s="8" t="inlineStr">
        <is>
          <t>Mensagem de erro acionável</t>
        </is>
      </c>
      <c r="D36" s="8" t="inlineStr">
        <is>
          <t>Usabilidade</t>
        </is>
      </c>
      <c r="E36" s="8" t="inlineStr">
        <is>
          <t>O erro diz o que aconteceu e o que fazer.</t>
        </is>
      </c>
      <c r="F36" s="8" t="inlineStr">
        <is>
          <t>As recusas de regra de negócio devolvem texto explicativo em vez de código genérico. A migração da extensão vetorial distingue ausência de extensão de falta de permissão, e indica o comando a executar.</t>
        </is>
      </c>
      <c r="G36" s="8" t="inlineStr">
        <is>
          <t>IMPORTANTE</t>
        </is>
      </c>
    </row>
    <row r="37">
      <c r="A37" s="9" t="n">
        <v>36</v>
      </c>
      <c r="B37" s="9" t="inlineStr">
        <is>
          <t>RNF-USA-006</t>
        </is>
      </c>
      <c r="C37" s="9" t="inlineStr">
        <is>
          <t>Estado vazio que orienta</t>
        </is>
      </c>
      <c r="D37" s="9" t="inlineStr">
        <is>
          <t>Usabilidade</t>
        </is>
      </c>
      <c r="E37" s="9" t="inlineStr">
        <is>
          <t>Tela sem conteúdo explica o que aparecerá ali e como fazer aparecer.</t>
        </is>
      </c>
      <c r="F37" s="9" t="inlineStr">
        <is>
          <t>Cada listagem tem texto próprio para o caso vazio, em vez de área em branco. Numa plataforma nova, o estado vazio é o mais frequente.</t>
        </is>
      </c>
      <c r="G37" s="9" t="inlineStr">
        <is>
          <t>IMPORTANTE</t>
        </is>
      </c>
    </row>
    <row r="38">
      <c r="A38" s="8" t="n">
        <v>37</v>
      </c>
      <c r="B38" s="8" t="inlineStr">
        <is>
          <t>RNF-USA-007</t>
        </is>
      </c>
      <c r="C38" s="8" t="inlineStr">
        <is>
          <t>Contagem que não inventa número</t>
        </is>
      </c>
      <c r="D38" s="8" t="inlineStr">
        <is>
          <t>Usabilidade</t>
        </is>
      </c>
      <c r="E38" s="8" t="inlineStr">
        <is>
          <t>Nenhum número exibido na interface é fixo no código.</t>
        </is>
      </c>
      <c r="F38" s="8" t="inlineStr">
        <is>
          <t>As contagens da tela de entrada vêm de consulta real e mostram zero quando o valor é zero. Número inventado em tela institucional é problema de credibilidade: quem perguntar de onde vem não tem resposta.</t>
        </is>
      </c>
      <c r="G38" s="8" t="inlineStr">
        <is>
          <t>IMPORTANTE</t>
        </is>
      </c>
    </row>
    <row r="39">
      <c r="A39" s="9" t="n">
        <v>38</v>
      </c>
      <c r="B39" s="9" t="inlineStr">
        <is>
          <t>RNF-USA-008</t>
        </is>
      </c>
      <c r="C39" s="9" t="inlineStr">
        <is>
          <t>Concordância de número no texto da interface</t>
        </is>
      </c>
      <c r="D39" s="9" t="inlineStr">
        <is>
          <t>Usabilidade</t>
        </is>
      </c>
      <c r="E39" s="9" t="inlineStr">
        <is>
          <t>Singular e plural corretos em toda contagem exibida.</t>
        </is>
      </c>
      <c r="F39" s="9" t="inlineStr">
        <is>
          <t>Função utilitária de pluralização aplicada nas contagens. Detalhe pequeno, mas "1 oportunidades" desgasta a percepção de cuidado da plataforma inteira.</t>
        </is>
      </c>
      <c r="G39" s="9" t="inlineStr">
        <is>
          <t>DESEJÁVEL</t>
        </is>
      </c>
    </row>
    <row r="40">
      <c r="A40" s="8" t="n">
        <v>39</v>
      </c>
      <c r="B40" s="8" t="inlineStr">
        <is>
          <t>RNF-MAN-001</t>
        </is>
      </c>
      <c r="C40" s="8" t="inlineStr">
        <is>
          <t>Regras de negócio fora das views</t>
        </is>
      </c>
      <c r="D40" s="8" t="inlineStr">
        <is>
          <t>Manutenibilidade</t>
        </is>
      </c>
      <c r="E40" s="8" t="inlineStr">
        <is>
          <t>A mesma regra vale para a API e para o canal em tempo real.</t>
        </is>
      </c>
      <c r="F40" s="8" t="inlineStr">
        <is>
          <t>As regras vivem em módulos de serviço, usados tanto pelas views quanto pelo consumidor de WebSocket. Duplicá-las garantiria divergência.</t>
        </is>
      </c>
      <c r="G40" s="8" t="inlineStr">
        <is>
          <t>ESSENCIAL</t>
        </is>
      </c>
    </row>
    <row r="41">
      <c r="A41" s="9" t="n">
        <v>40</v>
      </c>
      <c r="B41" s="9" t="inlineStr">
        <is>
          <t>RNF-MAN-002</t>
        </is>
      </c>
      <c r="C41" s="9" t="inlineStr">
        <is>
          <t>Permissões centralizadas</t>
        </is>
      </c>
      <c r="D41" s="9" t="inlineStr">
        <is>
          <t>Manutenibilidade</t>
        </is>
      </c>
      <c r="E41" s="9" t="inlineStr">
        <is>
          <t>A verificação de papel tem um único lugar de definição.</t>
        </is>
      </c>
      <c r="F41" s="9" t="inlineStr">
        <is>
          <t>Módulo compartilhado em config/permissions, importado por todos os apps.</t>
        </is>
      </c>
      <c r="G41" s="9" t="inlineStr">
        <is>
          <t>ESSENCIAL</t>
        </is>
      </c>
    </row>
    <row r="42">
      <c r="A42" s="8" t="n">
        <v>41</v>
      </c>
      <c r="B42" s="8" t="inlineStr">
        <is>
          <t>RNF-MAN-003</t>
        </is>
      </c>
      <c r="C42" s="8" t="inlineStr">
        <is>
          <t>Documentação da API gerada do código</t>
        </is>
      </c>
      <c r="D42" s="8" t="inlineStr">
        <is>
          <t>Manutenibilidade</t>
        </is>
      </c>
      <c r="E42" s="8" t="inlineStr">
        <is>
          <t>A especificação da API acompanha a implementação.</t>
        </is>
      </c>
      <c r="F42" s="8" t="inlineStr">
        <is>
          <t>drf-spectacular gera o esquema OpenAPI a partir das views e serializadores.</t>
        </is>
      </c>
      <c r="G42" s="8" t="inlineStr">
        <is>
          <t>IMPORTANTE</t>
        </is>
      </c>
    </row>
    <row r="43">
      <c r="A43" s="9" t="n">
        <v>42</v>
      </c>
      <c r="B43" s="9" t="inlineStr">
        <is>
          <t>RNF-MAN-004</t>
        </is>
      </c>
      <c r="C43" s="9" t="inlineStr">
        <is>
          <t>Verificação de tipos antes da entrega</t>
        </is>
      </c>
      <c r="D43" s="9" t="inlineStr">
        <is>
          <t>Manutenibilidade</t>
        </is>
      </c>
      <c r="E43" s="9" t="inlineStr">
        <is>
          <t>Erro de tipo no frontend é detectado antes da implantação.</t>
        </is>
      </c>
      <c r="F43" s="9" t="inlineStr">
        <is>
          <t>TypeScript com verificação na construção. O servidor de desenvolvimento não verifica tipos: oito erros sobreviveram uma semana e só apareceram na implantação.</t>
        </is>
      </c>
      <c r="G43" s="9" t="inlineStr">
        <is>
          <t>ESSENCIAL</t>
        </is>
      </c>
    </row>
    <row r="44">
      <c r="A44" s="8" t="n">
        <v>43</v>
      </c>
      <c r="B44" s="8" t="inlineStr">
        <is>
          <t>RNF-MAN-005</t>
        </is>
      </c>
      <c r="C44" s="8" t="inlineStr">
        <is>
          <t>Comentário que registra o motivo</t>
        </is>
      </c>
      <c r="D44" s="8" t="inlineStr">
        <is>
          <t>Manutenibilidade</t>
        </is>
      </c>
      <c r="E44" s="8" t="inlineStr">
        <is>
          <t>O código explica por que a decisão foi tomada, e não o que a linha faz.</t>
        </is>
      </c>
      <c r="F44" s="8" t="inlineStr">
        <is>
          <t>Convenção adotada em todo o projeto. Reduz o risco de alguém desfazer uma correção por não conhecer o defeito que ela resolveu.</t>
        </is>
      </c>
      <c r="G44" s="8" t="inlineStr">
        <is>
          <t>IMPORTANTE</t>
        </is>
      </c>
    </row>
    <row r="45">
      <c r="A45" s="9" t="n">
        <v>44</v>
      </c>
      <c r="B45" s="9" t="inlineStr">
        <is>
          <t>RNF-POR-001</t>
        </is>
      </c>
      <c r="C45" s="9" t="inlineStr">
        <is>
          <t>Implantação reprodutível em contêiner</t>
        </is>
      </c>
      <c r="D45" s="9" t="inlineStr">
        <is>
          <t>Portabilidade</t>
        </is>
      </c>
      <c r="E45" s="9" t="inlineStr">
        <is>
          <t>O ambiente de produção é construído sempre da mesma forma.</t>
        </is>
      </c>
      <c r="F45" s="9" t="inlineStr">
        <is>
          <t>Dockerfile de duas etapas: uma constrói o frontend, outra executa a aplicação. Bibliotecas de sistema necessárias declaradas explicitamente.</t>
        </is>
      </c>
      <c r="G45" s="9" t="inlineStr">
        <is>
          <t>ESSENCIAL</t>
        </is>
      </c>
    </row>
    <row r="46">
      <c r="A46" s="8" t="n">
        <v>45</v>
      </c>
      <c r="B46" s="8" t="inlineStr">
        <is>
          <t>RNF-POR-002</t>
        </is>
      </c>
      <c r="C46" s="8" t="inlineStr">
        <is>
          <t>Configuração por variável de ambiente</t>
        </is>
      </c>
      <c r="D46" s="8" t="inlineStr">
        <is>
          <t>Portabilidade</t>
        </is>
      </c>
      <c r="E46" s="8" t="inlineStr">
        <is>
          <t>Nenhum segredo ou endereço fica escrito no código.</t>
        </is>
      </c>
      <c r="F46" s="8" t="inlineStr">
        <is>
          <t>Chave secreta, banco, hosts permitidos, armazenamento e chaves de serviços vêm do ambiente. Permite trocar de provedor sem alterar código.</t>
        </is>
      </c>
      <c r="G46" s="8" t="inlineStr">
        <is>
          <t>CRÍTICA</t>
        </is>
      </c>
    </row>
    <row r="47">
      <c r="A47" s="9" t="n">
        <v>46</v>
      </c>
      <c r="B47" s="9" t="inlineStr">
        <is>
          <t>RNF-POR-003</t>
        </is>
      </c>
      <c r="C47" s="9" t="inlineStr">
        <is>
          <t>Armazenamento de arquivos intercambiável</t>
        </is>
      </c>
      <c r="D47" s="9" t="inlineStr">
        <is>
          <t>Portabilidade</t>
        </is>
      </c>
      <c r="E47" s="9" t="inlineStr">
        <is>
          <t>Os arquivos enviados podem ficar no disco local ou em serviço externo.</t>
        </is>
      </c>
      <c r="F47" s="9" t="inlineStr">
        <is>
          <t>Sistema de armazenamento escolhido por configuração, com django-storages. Necessário porque o disco do contêiner é efêmero.</t>
        </is>
      </c>
      <c r="G47" s="9" t="inlineStr">
        <is>
          <t>ESSENCIAL</t>
        </is>
      </c>
    </row>
    <row r="48">
      <c r="A48" s="8" t="n">
        <v>47</v>
      </c>
      <c r="B48" s="8" t="inlineStr">
        <is>
          <t>RNF-POR-004</t>
        </is>
      </c>
      <c r="C48" s="8" t="inlineStr">
        <is>
          <t>Entrega dos arquivos estáticos pela aplicação</t>
        </is>
      </c>
      <c r="D48" s="8" t="inlineStr">
        <is>
          <t>Portabilidade</t>
        </is>
      </c>
      <c r="E48" s="8" t="inlineStr">
        <is>
          <t>A aplicação serve o próprio frontend, sem servidor web separado.</t>
        </is>
      </c>
      <c r="F48" s="8" t="inlineStr">
        <is>
          <t>WhiteNoise com compressão. O frontend é construído com prefixo de caminho compatível com o local de publicação — sem isso o navegador pede os arquivos no lugar errado e recebe a página em branco.</t>
        </is>
      </c>
      <c r="G48" s="8" t="inlineStr">
        <is>
          <t>ESSENCIAL</t>
        </is>
      </c>
    </row>
    <row r="49">
      <c r="A49" s="9" t="n">
        <v>48</v>
      </c>
      <c r="B49" s="9" t="inlineStr">
        <is>
          <t>RNF-POR-005</t>
        </is>
      </c>
      <c r="C49" s="9" t="inlineStr">
        <is>
          <t>Idioma declarado no documento</t>
        </is>
      </c>
      <c r="D49" s="9" t="inlineStr">
        <is>
          <t>Portabilidade</t>
        </is>
      </c>
      <c r="E49" s="9" t="inlineStr">
        <is>
          <t>O leitor de tela pronuncia o conteúdo em português.</t>
        </is>
      </c>
      <c r="F49" s="9" t="inlineStr">
        <is>
          <t>Atributo de idioma no elemento raiz. Com o valor padrão do gerador, em inglês, palavras como "dúvida" e "matriculados" saem com fonética inglesa e a interface fica incompreensível para quem depende de áudio.</t>
        </is>
      </c>
      <c r="G49" s="9" t="inlineStr">
        <is>
          <t>ESSENCIAL</t>
        </is>
      </c>
    </row>
    <row r="50">
      <c r="A50" s="8" t="n">
        <v>49</v>
      </c>
      <c r="B50" s="8" t="inlineStr">
        <is>
          <t>RNF-POR-006</t>
        </is>
      </c>
      <c r="C50" s="8" t="inlineStr">
        <is>
          <t>Aplicação de página única servida pelo backend</t>
        </is>
      </c>
      <c r="D50" s="8" t="inlineStr">
        <is>
          <t>Portabilidade</t>
        </is>
      </c>
      <c r="E50" s="8" t="inlineStr">
        <is>
          <t>Qualquer endereço da aplicação abre direto, sem passar pela raiz.</t>
        </is>
      </c>
      <c r="F50" s="8" t="inlineStr">
        <is>
          <t>Rota de captura no Django devolve a página principal para endereços que não sejam de API, administração ou arquivos. Sem ela, recarregar uma página interna resultaria em erro de página não encontrada.</t>
        </is>
      </c>
      <c r="G50" s="8" t="inlineStr">
        <is>
          <t>ESSENCIAL</t>
        </is>
      </c>
    </row>
  </sheetData>
  <autoFilter ref="A1:G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2026-08-20T14:35:51Z</dcterms:created>
  <dcterms:modified xsi:type="dcterms:W3CDTF">2026-08-20T14:35:51Z</dcterms:modified>
</cp:coreProperties>
</file>